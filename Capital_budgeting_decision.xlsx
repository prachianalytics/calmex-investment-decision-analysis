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chi Agarwal\Downloads\"/>
    </mc:Choice>
  </mc:AlternateContent>
  <xr:revisionPtr revIDLastSave="0" documentId="8_{5173F111-44B0-4718-A383-6E4B6EABEB22}" xr6:coauthVersionLast="47" xr6:coauthVersionMax="47" xr10:uidLastSave="{00000000-0000-0000-0000-000000000000}"/>
  <bookViews>
    <workbookView xWindow="-96" yWindow="0" windowWidth="14976" windowHeight="12336" xr2:uid="{38004B0D-AEB3-4577-81CA-22142EDEFAB3}"/>
  </bookViews>
  <sheets>
    <sheet name="SUMMARY" sheetId="6" r:id="rId1"/>
    <sheet name=" CASE 1" sheetId="2" r:id="rId2"/>
    <sheet name="CASE 2" sheetId="3" r:id="rId3"/>
    <sheet name="CASE 3" sheetId="4" r:id="rId4"/>
    <sheet name="CASE 4" sheetId="5" r:id="rId5"/>
    <sheet name="BASIC CALCULATIONS" sheetId="1" r:id="rId6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6" l="1"/>
  <c r="D5" i="4"/>
  <c r="D6" i="4" s="1"/>
  <c r="D5" i="5"/>
  <c r="E5" i="5" s="1"/>
  <c r="F5" i="5" s="1"/>
  <c r="D7" i="5"/>
  <c r="D8" i="5" s="1"/>
  <c r="D7" i="4"/>
  <c r="D8" i="4" s="1"/>
  <c r="B15" i="5"/>
  <c r="C8" i="5"/>
  <c r="C6" i="5"/>
  <c r="C10" i="5" s="1"/>
  <c r="C12" i="5" s="1"/>
  <c r="C15" i="5" s="1"/>
  <c r="B12" i="4"/>
  <c r="B15" i="4" s="1"/>
  <c r="C8" i="4"/>
  <c r="C6" i="4"/>
  <c r="B12" i="3"/>
  <c r="B5" i="6" s="1"/>
  <c r="H8" i="3"/>
  <c r="G8" i="3"/>
  <c r="F8" i="3"/>
  <c r="E8" i="3"/>
  <c r="D8" i="3"/>
  <c r="C8" i="3"/>
  <c r="H6" i="3"/>
  <c r="G6" i="3"/>
  <c r="F6" i="3"/>
  <c r="E6" i="3"/>
  <c r="D6" i="3"/>
  <c r="D10" i="3" s="1"/>
  <c r="D12" i="3" s="1"/>
  <c r="D15" i="3" s="1"/>
  <c r="C6" i="3"/>
  <c r="B12" i="2"/>
  <c r="B3" i="6" s="1"/>
  <c r="C27" i="1"/>
  <c r="H8" i="2"/>
  <c r="G8" i="2"/>
  <c r="F8" i="2"/>
  <c r="E8" i="2"/>
  <c r="D8" i="2"/>
  <c r="C8" i="2"/>
  <c r="H6" i="2"/>
  <c r="G6" i="2"/>
  <c r="F6" i="2"/>
  <c r="E6" i="2"/>
  <c r="D6" i="2"/>
  <c r="C6" i="2"/>
  <c r="J2" i="1"/>
  <c r="J3" i="1" s="1"/>
  <c r="J4" i="1" s="1"/>
  <c r="J5" i="1" s="1"/>
  <c r="J6" i="1" s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D16" i="1"/>
  <c r="D18" i="1" s="1"/>
  <c r="E16" i="1"/>
  <c r="E18" i="1" s="1"/>
  <c r="E20" i="1" s="1"/>
  <c r="C24" i="1"/>
  <c r="D24" i="1"/>
  <c r="E24" i="1"/>
  <c r="F24" i="1"/>
  <c r="G24" i="1"/>
  <c r="D32" i="1"/>
  <c r="D34" i="1" s="1"/>
  <c r="E32" i="1"/>
  <c r="E34" i="1" s="1"/>
  <c r="E36" i="1" s="1"/>
  <c r="C40" i="1"/>
  <c r="D40" i="1"/>
  <c r="E40" i="1"/>
  <c r="F40" i="1"/>
  <c r="G40" i="1"/>
  <c r="E7" i="4" l="1"/>
  <c r="B7" i="6"/>
  <c r="B15" i="3"/>
  <c r="E10" i="2"/>
  <c r="E12" i="2" s="1"/>
  <c r="E15" i="2" s="1"/>
  <c r="B15" i="2"/>
  <c r="C10" i="2"/>
  <c r="C12" i="2" s="1"/>
  <c r="C15" i="2" s="1"/>
  <c r="D10" i="2"/>
  <c r="D12" i="2" s="1"/>
  <c r="D15" i="2" s="1"/>
  <c r="D6" i="5"/>
  <c r="D10" i="5" s="1"/>
  <c r="D12" i="5" s="1"/>
  <c r="D15" i="5" s="1"/>
  <c r="E5" i="4"/>
  <c r="G5" i="5"/>
  <c r="F6" i="5"/>
  <c r="E6" i="5"/>
  <c r="E7" i="5"/>
  <c r="C10" i="4"/>
  <c r="C12" i="4" s="1"/>
  <c r="C15" i="4" s="1"/>
  <c r="D10" i="4"/>
  <c r="D12" i="4" s="1"/>
  <c r="D15" i="4" s="1"/>
  <c r="C10" i="3"/>
  <c r="C12" i="3" s="1"/>
  <c r="C15" i="3" s="1"/>
  <c r="I15" i="3" s="1"/>
  <c r="F10" i="3"/>
  <c r="F12" i="3" s="1"/>
  <c r="F15" i="3" s="1"/>
  <c r="G10" i="3"/>
  <c r="G12" i="3" s="1"/>
  <c r="G15" i="3" s="1"/>
  <c r="H10" i="3"/>
  <c r="H12" i="3" s="1"/>
  <c r="H15" i="3" s="1"/>
  <c r="E10" i="3"/>
  <c r="E12" i="3" s="1"/>
  <c r="E15" i="3" s="1"/>
  <c r="F10" i="2"/>
  <c r="F12" i="2" s="1"/>
  <c r="F15" i="2" s="1"/>
  <c r="G10" i="2"/>
  <c r="G12" i="2" s="1"/>
  <c r="G15" i="2" s="1"/>
  <c r="H10" i="2"/>
  <c r="H12" i="2" s="1"/>
  <c r="H15" i="2" s="1"/>
  <c r="I40" i="1"/>
  <c r="J40" i="1" s="1"/>
  <c r="H9" i="1"/>
  <c r="G9" i="1"/>
  <c r="F9" i="1"/>
  <c r="I24" i="1"/>
  <c r="J24" i="1" s="1"/>
  <c r="E8" i="4" l="1"/>
  <c r="F7" i="4"/>
  <c r="I17" i="3"/>
  <c r="C5" i="6"/>
  <c r="D5" i="6" s="1"/>
  <c r="I15" i="2"/>
  <c r="C3" i="6" s="1"/>
  <c r="D3" i="6" s="1"/>
  <c r="E6" i="4"/>
  <c r="F5" i="4"/>
  <c r="H5" i="5"/>
  <c r="H6" i="5" s="1"/>
  <c r="G6" i="5"/>
  <c r="F7" i="5"/>
  <c r="E8" i="5"/>
  <c r="E10" i="5" s="1"/>
  <c r="E12" i="5" s="1"/>
  <c r="E15" i="5" s="1"/>
  <c r="E10" i="4" l="1"/>
  <c r="E12" i="4" s="1"/>
  <c r="E15" i="4" s="1"/>
  <c r="F8" i="4"/>
  <c r="G7" i="4"/>
  <c r="I17" i="2"/>
  <c r="I27" i="2" s="1"/>
  <c r="F6" i="4"/>
  <c r="G5" i="4"/>
  <c r="G7" i="5"/>
  <c r="F8" i="5"/>
  <c r="F10" i="5" s="1"/>
  <c r="F12" i="5" s="1"/>
  <c r="F15" i="5" s="1"/>
  <c r="F10" i="4" l="1"/>
  <c r="F12" i="4" s="1"/>
  <c r="F15" i="4" s="1"/>
  <c r="G8" i="4"/>
  <c r="H7" i="4"/>
  <c r="H8" i="4" s="1"/>
  <c r="H5" i="4"/>
  <c r="H6" i="4" s="1"/>
  <c r="G6" i="4"/>
  <c r="H7" i="5"/>
  <c r="H8" i="5" s="1"/>
  <c r="H10" i="5" s="1"/>
  <c r="H12" i="5" s="1"/>
  <c r="H15" i="5" s="1"/>
  <c r="G8" i="5"/>
  <c r="G10" i="5" s="1"/>
  <c r="G12" i="5" s="1"/>
  <c r="G15" i="5" s="1"/>
  <c r="H10" i="4" l="1"/>
  <c r="H12" i="4" s="1"/>
  <c r="H15" i="4" s="1"/>
  <c r="G10" i="4"/>
  <c r="G12" i="4" s="1"/>
  <c r="G15" i="4" s="1"/>
  <c r="I15" i="4" s="1"/>
  <c r="I15" i="5"/>
  <c r="I17" i="5" l="1"/>
  <c r="C9" i="6"/>
  <c r="D9" i="6" s="1"/>
  <c r="I17" i="4"/>
  <c r="C7" i="6"/>
  <c r="D7" i="6" s="1"/>
</calcChain>
</file>

<file path=xl/sharedStrings.xml><?xml version="1.0" encoding="utf-8"?>
<sst xmlns="http://schemas.openxmlformats.org/spreadsheetml/2006/main" count="129" uniqueCount="39">
  <si>
    <t>yr 0</t>
  </si>
  <si>
    <t>Yr 0</t>
  </si>
  <si>
    <t>Yr0</t>
  </si>
  <si>
    <t>NPV +</t>
  </si>
  <si>
    <t>cash inflow</t>
  </si>
  <si>
    <t>Cash outflow</t>
  </si>
  <si>
    <t>Amount</t>
  </si>
  <si>
    <t>Year</t>
  </si>
  <si>
    <t>NPV -</t>
  </si>
  <si>
    <t>PV * Amt</t>
  </si>
  <si>
    <t>PV @ 10%</t>
  </si>
  <si>
    <t>Option 3</t>
  </si>
  <si>
    <t>Option 2</t>
  </si>
  <si>
    <t>Option 1</t>
  </si>
  <si>
    <t>PV Factor</t>
  </si>
  <si>
    <t xml:space="preserve">Yr </t>
  </si>
  <si>
    <t>Cost PU</t>
  </si>
  <si>
    <t>Price PU</t>
  </si>
  <si>
    <t>Sales Unit</t>
  </si>
  <si>
    <t>Operating Profit (A-B)</t>
  </si>
  <si>
    <t>Particulars</t>
  </si>
  <si>
    <t>Revenue (A)</t>
  </si>
  <si>
    <t>Total Cost (B)</t>
  </si>
  <si>
    <t>PV @ 12 %</t>
  </si>
  <si>
    <t>PV * Amount</t>
  </si>
  <si>
    <t xml:space="preserve">Net (Outflow)/Inflow </t>
  </si>
  <si>
    <t>Yr</t>
  </si>
  <si>
    <t xml:space="preserve">NPV </t>
  </si>
  <si>
    <t>NPV is positive, so this project is beneficial for us</t>
  </si>
  <si>
    <t>Case 2</t>
  </si>
  <si>
    <t>Case 1</t>
  </si>
  <si>
    <t>Case 3</t>
  </si>
  <si>
    <t>NPV</t>
  </si>
  <si>
    <t>Case 4</t>
  </si>
  <si>
    <t>Inflow</t>
  </si>
  <si>
    <t>Outflow</t>
  </si>
  <si>
    <t>Net NPV</t>
  </si>
  <si>
    <t>Decision</t>
  </si>
  <si>
    <t>We will Accept the project due to positive 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</si>
</sst>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0000_ ;_ * \-#,##0.0000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1" applyNumberFormat="1" applyFont="1"/>
    <xf numFmtId="0" fontId="0" fillId="2" borderId="0" xfId="0" applyFill="1"/>
    <xf numFmtId="164" fontId="2" fillId="0" borderId="0" xfId="1" applyNumberFormat="1" applyFont="1"/>
    <xf numFmtId="164" fontId="0" fillId="2" borderId="0" xfId="0" applyNumberFormat="1" applyFill="1"/>
    <xf numFmtId="164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9" fontId="0" fillId="2" borderId="0" xfId="0" applyNumberFormat="1" applyFill="1"/>
    <xf numFmtId="9" fontId="0" fillId="0" borderId="0" xfId="0" applyNumberFormat="1"/>
    <xf numFmtId="164" fontId="2" fillId="5" borderId="1" xfId="1" applyNumberFormat="1" applyFont="1" applyFill="1" applyBorder="1"/>
    <xf numFmtId="164" fontId="0" fillId="0" borderId="1" xfId="1" applyNumberFormat="1" applyFont="1" applyBorder="1"/>
    <xf numFmtId="43" fontId="0" fillId="0" borderId="1" xfId="1" applyFont="1" applyBorder="1"/>
    <xf numFmtId="164" fontId="0" fillId="0" borderId="1" xfId="1" quotePrefix="1" applyNumberFormat="1" applyFont="1" applyBorder="1"/>
    <xf numFmtId="0" fontId="2" fillId="5" borderId="1" xfId="0" applyFont="1" applyFill="1" applyBorder="1"/>
    <xf numFmtId="0" fontId="2" fillId="0" borderId="0" xfId="0" applyFont="1"/>
    <xf numFmtId="165" fontId="0" fillId="0" borderId="0" xfId="1" applyNumberFormat="1" applyFont="1"/>
    <xf numFmtId="0" fontId="3" fillId="0" borderId="0" xfId="0" applyFont="1"/>
    <xf numFmtId="0" fontId="4" fillId="4" borderId="1" xfId="0" applyFont="1" applyFill="1" applyBorder="1"/>
    <xf numFmtId="164" fontId="5" fillId="4" borderId="1" xfId="1" applyNumberFormat="1" applyFont="1" applyFill="1" applyBorder="1"/>
    <xf numFmtId="164" fontId="4" fillId="4" borderId="1" xfId="1" applyNumberFormat="1" applyFont="1" applyFill="1" applyBorder="1"/>
    <xf numFmtId="0" fontId="4" fillId="4" borderId="0" xfId="0" applyFont="1" applyFill="1" applyAlignment="1">
      <alignment horizontal="center"/>
    </xf>
    <xf numFmtId="164" fontId="2" fillId="6" borderId="0" xfId="1" applyNumberFormat="1" applyFont="1" applyFill="1"/>
    <xf numFmtId="0" fontId="2" fillId="6" borderId="0" xfId="0" applyFont="1" applyFill="1"/>
    <xf numFmtId="164" fontId="2" fillId="6" borderId="0" xfId="0" applyNumberFormat="1" applyFont="1" applyFill="1"/>
    <xf numFmtId="0" fontId="4" fillId="7" borderId="0" xfId="0" applyFont="1" applyFill="1" applyAlignment="1">
      <alignment horizontal="center"/>
    </xf>
    <xf numFmtId="0" fontId="6" fillId="0" borderId="0" xfId="0" applyFont="1" applyAlignment="1"/>
    <xf numFmtId="0" fontId="4" fillId="6" borderId="0" xfId="0" applyFont="1" applyFill="1" applyAlignment="1">
      <alignment horizontal="center"/>
    </xf>
    <xf numFmtId="0" fontId="5" fillId="6" borderId="0" xfId="0" applyFont="1" applyFill="1"/>
    <xf numFmtId="164" fontId="5" fillId="6" borderId="0" xfId="1" applyNumberFormat="1" applyFont="1" applyFill="1"/>
    <xf numFmtId="0" fontId="5" fillId="7" borderId="0" xfId="0" applyFont="1" applyFill="1"/>
    <xf numFmtId="9" fontId="5" fillId="7" borderId="0" xfId="0" applyNumberFormat="1" applyFont="1" applyFill="1"/>
    <xf numFmtId="164" fontId="5" fillId="7" borderId="0" xfId="0" applyNumberFormat="1" applyFont="1" applyFill="1"/>
    <xf numFmtId="164" fontId="0" fillId="8" borderId="1" xfId="1" applyNumberFormat="1" applyFont="1" applyFill="1" applyBorder="1"/>
    <xf numFmtId="164" fontId="0" fillId="8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Scenario comparison chart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(SUMMARY!$A$3,SUMMARY!$A$5)</c:f>
              <c:strCache>
                <c:ptCount val="2"/>
                <c:pt idx="0">
                  <c:v>Case 1</c:v>
                </c:pt>
                <c:pt idx="1">
                  <c:v>Case 2</c:v>
                </c:pt>
              </c:strCache>
            </c:strRef>
          </c:cat>
          <c:val>
            <c:numRef>
              <c:f>(SUMMARY!$D$3,SUMMARY!$D$5)</c:f>
              <c:numCache>
                <c:formatCode>_ * #,##0_ ;_ * \-#,##0_ ;_ * "-"??_ ;_ @_ </c:formatCode>
                <c:ptCount val="2"/>
                <c:pt idx="0">
                  <c:v>21405865.005742028</c:v>
                </c:pt>
                <c:pt idx="1">
                  <c:v>21007997.735102773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2-4B0F-864F-D6AE56B6F5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4486944"/>
        <c:axId val="804491744"/>
      </c:barChart>
      <c:catAx>
        <c:axId val="804486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491744"/>
        <c:crosses val="autoZero"/>
        <c:auto val="1"/>
        <c:lblAlgn val="ctr"/>
        <c:lblOffset val="100"/>
        <c:noMultiLvlLbl val="0"/>
      </c:catAx>
      <c:valAx>
        <c:axId val="80449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4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182880</xdr:colOff>
      <xdr:row>9</xdr:row>
      <xdr:rowOff>26670</xdr:rowOff>
    </xdr:from>
    <xdr:to>
      <xdr:col>4</xdr:col>
      <xdr:colOff>2308860</xdr:colOff>
      <xdr:row>24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F6AE41-9476-E19D-43C1-8720D539C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F2BA-7E73-4C90-9455-CD2A9159BA49}">
  <dimension ref="A1:E9"/>
  <sheetViews>
    <sheetView tabSelected="1" workbookViewId="0">
      <selection activeCell="D5" activeCellId="3" sqref="A3 D3 A5 D5"/>
    </sheetView>
  </sheetViews>
  <sheetFormatPr defaultRowHeight="14.4" x14ac:dyDescent="0.3"/>
  <cols>
    <col min="1" max="1" width="9.88671875" bestFit="1" customWidth="1"/>
    <col min="2" max="2" width="12" bestFit="1" customWidth="1"/>
    <col min="3" max="3" width="12.33203125" bestFit="1" customWidth="1"/>
    <col min="4" max="4" width="11.33203125" bestFit="1" customWidth="1"/>
    <col min="5" max="5" width="39.6640625" bestFit="1" customWidth="1"/>
  </cols>
  <sheetData>
    <row r="1" spans="1:5" x14ac:dyDescent="0.3">
      <c r="A1" s="18" t="s">
        <v>20</v>
      </c>
      <c r="B1" s="18" t="s">
        <v>34</v>
      </c>
      <c r="C1" s="18" t="s">
        <v>35</v>
      </c>
      <c r="D1" s="18" t="s">
        <v>36</v>
      </c>
      <c r="E1" s="18" t="s">
        <v>37</v>
      </c>
    </row>
    <row r="2" spans="1:5" x14ac:dyDescent="0.3">
      <c r="A2" s="18"/>
      <c r="B2" s="18"/>
      <c r="C2" s="18"/>
      <c r="D2" s="18"/>
      <c r="E2" s="18"/>
    </row>
    <row r="3" spans="1:5" x14ac:dyDescent="0.3">
      <c r="A3" s="18" t="s">
        <v>30</v>
      </c>
      <c r="B3" s="19">
        <f>' CASE 1'!B12</f>
        <v>-60000000</v>
      </c>
      <c r="C3" s="19">
        <f>' CASE 1'!I15</f>
        <v>81405865.005742028</v>
      </c>
      <c r="D3" s="20">
        <f>B3+C3</f>
        <v>21405865.005742028</v>
      </c>
      <c r="E3" s="18" t="s">
        <v>38</v>
      </c>
    </row>
    <row r="4" spans="1:5" x14ac:dyDescent="0.3">
      <c r="A4" s="18"/>
      <c r="B4" s="19"/>
      <c r="C4" s="19"/>
      <c r="D4" s="20"/>
      <c r="E4" s="18"/>
    </row>
    <row r="5" spans="1:5" x14ac:dyDescent="0.3">
      <c r="A5" s="18" t="s">
        <v>29</v>
      </c>
      <c r="B5" s="19">
        <f>'CASE 2'!B12</f>
        <v>-90000000</v>
      </c>
      <c r="C5" s="19">
        <f>'CASE 2'!I15</f>
        <v>111007997.73510277</v>
      </c>
      <c r="D5" s="20">
        <f t="shared" ref="D5:D9" si="0">B5+C5</f>
        <v>21007997.735102773</v>
      </c>
      <c r="E5" s="18" t="s">
        <v>38</v>
      </c>
    </row>
    <row r="6" spans="1:5" x14ac:dyDescent="0.3">
      <c r="A6" s="18"/>
      <c r="B6" s="19"/>
      <c r="C6" s="19"/>
      <c r="D6" s="20"/>
      <c r="E6" s="18"/>
    </row>
    <row r="7" spans="1:5" x14ac:dyDescent="0.3">
      <c r="A7" s="18" t="s">
        <v>31</v>
      </c>
      <c r="B7" s="19">
        <f>'CASE 3'!B12</f>
        <v>-60000000</v>
      </c>
      <c r="C7" s="19">
        <f>'CASE 3'!I15</f>
        <v>90815767.049789429</v>
      </c>
      <c r="D7" s="20">
        <f t="shared" si="0"/>
        <v>30815767.049789429</v>
      </c>
      <c r="E7" s="18" t="s">
        <v>38</v>
      </c>
    </row>
    <row r="8" spans="1:5" x14ac:dyDescent="0.3">
      <c r="A8" s="18"/>
      <c r="B8" s="19"/>
      <c r="C8" s="19"/>
      <c r="D8" s="20"/>
      <c r="E8" s="18"/>
    </row>
    <row r="9" spans="1:5" x14ac:dyDescent="0.3">
      <c r="A9" s="18" t="s">
        <v>33</v>
      </c>
      <c r="B9" s="19">
        <f>'CASE 4'!B12</f>
        <v>-90000000</v>
      </c>
      <c r="C9" s="19">
        <f>'CASE 4'!I15</f>
        <v>90815767.049789429</v>
      </c>
      <c r="D9" s="20">
        <f t="shared" si="0"/>
        <v>815767.04978942871</v>
      </c>
      <c r="E9" s="18" t="s">
        <v>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4A62-5819-49BD-95AB-926AA7BB30C4}">
  <dimension ref="A1:K28"/>
  <sheetViews>
    <sheetView workbookViewId="0">
      <selection activeCell="C8" sqref="C8:H8"/>
    </sheetView>
  </sheetViews>
  <sheetFormatPr defaultRowHeight="14.4" x14ac:dyDescent="0.3"/>
  <cols>
    <col min="1" max="1" width="18.5546875" bestFit="1" customWidth="1"/>
    <col min="2" max="2" width="11.77734375" bestFit="1" customWidth="1"/>
    <col min="3" max="8" width="11.21875" bestFit="1" customWidth="1"/>
    <col min="9" max="9" width="13.77734375" bestFit="1" customWidth="1"/>
    <col min="10" max="10" width="42" bestFit="1" customWidth="1"/>
  </cols>
  <sheetData>
    <row r="1" spans="1:11" ht="28.8" customHeight="1" x14ac:dyDescent="0.6">
      <c r="A1" s="26" t="s">
        <v>30</v>
      </c>
    </row>
    <row r="2" spans="1:11" x14ac:dyDescent="0.3">
      <c r="A2" s="21"/>
      <c r="B2" s="21" t="s">
        <v>15</v>
      </c>
      <c r="C2" s="21" t="s">
        <v>15</v>
      </c>
      <c r="D2" s="21" t="s">
        <v>15</v>
      </c>
      <c r="E2" s="21" t="s">
        <v>15</v>
      </c>
      <c r="F2" s="21" t="s">
        <v>15</v>
      </c>
      <c r="G2" s="21" t="s">
        <v>15</v>
      </c>
      <c r="H2" s="21" t="s">
        <v>15</v>
      </c>
    </row>
    <row r="3" spans="1:11" x14ac:dyDescent="0.3">
      <c r="A3" s="21" t="s">
        <v>20</v>
      </c>
      <c r="B3" s="21">
        <v>0</v>
      </c>
      <c r="C3" s="21">
        <v>1</v>
      </c>
      <c r="D3" s="21">
        <v>2</v>
      </c>
      <c r="E3" s="21">
        <v>3</v>
      </c>
      <c r="F3" s="21">
        <v>4</v>
      </c>
      <c r="G3" s="21">
        <v>5</v>
      </c>
      <c r="H3" s="21">
        <v>6</v>
      </c>
    </row>
    <row r="4" spans="1:11" x14ac:dyDescent="0.3">
      <c r="A4" t="s">
        <v>18</v>
      </c>
      <c r="B4" s="1"/>
      <c r="C4" s="1">
        <v>120000</v>
      </c>
      <c r="D4" s="1">
        <v>120000</v>
      </c>
      <c r="E4" s="1">
        <v>120000</v>
      </c>
      <c r="F4" s="1">
        <v>120000</v>
      </c>
      <c r="G4" s="1">
        <v>120000</v>
      </c>
      <c r="H4" s="1">
        <v>120000</v>
      </c>
    </row>
    <row r="5" spans="1:11" x14ac:dyDescent="0.3">
      <c r="A5" t="s">
        <v>17</v>
      </c>
      <c r="B5" s="1"/>
      <c r="C5" s="1">
        <v>700</v>
      </c>
      <c r="D5" s="1">
        <v>700</v>
      </c>
      <c r="E5" s="1">
        <v>700</v>
      </c>
      <c r="F5" s="1">
        <v>700</v>
      </c>
      <c r="G5" s="1">
        <v>700</v>
      </c>
      <c r="H5" s="1">
        <v>700</v>
      </c>
    </row>
    <row r="6" spans="1:11" x14ac:dyDescent="0.3">
      <c r="A6" s="15" t="s">
        <v>21</v>
      </c>
      <c r="B6" s="1"/>
      <c r="C6" s="3">
        <f t="shared" ref="C6:H6" si="0">C4*C5</f>
        <v>84000000</v>
      </c>
      <c r="D6" s="3">
        <f t="shared" si="0"/>
        <v>84000000</v>
      </c>
      <c r="E6" s="3">
        <f t="shared" si="0"/>
        <v>84000000</v>
      </c>
      <c r="F6" s="3">
        <f t="shared" si="0"/>
        <v>84000000</v>
      </c>
      <c r="G6" s="3">
        <f t="shared" si="0"/>
        <v>84000000</v>
      </c>
      <c r="H6" s="3">
        <f t="shared" si="0"/>
        <v>84000000</v>
      </c>
    </row>
    <row r="7" spans="1:11" x14ac:dyDescent="0.3">
      <c r="A7" t="s">
        <v>16</v>
      </c>
      <c r="B7" s="1"/>
      <c r="C7" s="1">
        <v>535</v>
      </c>
      <c r="D7" s="1">
        <v>535</v>
      </c>
      <c r="E7" s="1">
        <v>535</v>
      </c>
      <c r="F7" s="1">
        <v>535</v>
      </c>
      <c r="G7" s="1">
        <v>535</v>
      </c>
      <c r="H7" s="1">
        <v>535</v>
      </c>
    </row>
    <row r="8" spans="1:11" x14ac:dyDescent="0.3">
      <c r="A8" s="15" t="s">
        <v>22</v>
      </c>
      <c r="B8" s="1"/>
      <c r="C8" s="3">
        <f t="shared" ref="C8:H8" si="1">C4*C7</f>
        <v>64200000</v>
      </c>
      <c r="D8" s="3">
        <f t="shared" si="1"/>
        <v>64200000</v>
      </c>
      <c r="E8" s="3">
        <f t="shared" si="1"/>
        <v>64200000</v>
      </c>
      <c r="F8" s="3">
        <f t="shared" si="1"/>
        <v>64200000</v>
      </c>
      <c r="G8" s="3">
        <f t="shared" si="1"/>
        <v>64200000</v>
      </c>
      <c r="H8" s="3">
        <f t="shared" si="1"/>
        <v>64200000</v>
      </c>
      <c r="K8" t="s">
        <v>26</v>
      </c>
    </row>
    <row r="9" spans="1:11" x14ac:dyDescent="0.3">
      <c r="B9" s="1"/>
      <c r="C9" s="1"/>
      <c r="D9" s="1"/>
      <c r="E9" s="1"/>
      <c r="F9" s="1"/>
      <c r="G9" s="1"/>
      <c r="H9" s="1"/>
    </row>
    <row r="10" spans="1:11" x14ac:dyDescent="0.3">
      <c r="A10" s="15" t="s">
        <v>19</v>
      </c>
      <c r="B10" s="3"/>
      <c r="C10" s="3">
        <f t="shared" ref="C10:H10" si="2">C6-C8</f>
        <v>19800000</v>
      </c>
      <c r="D10" s="3">
        <f t="shared" si="2"/>
        <v>19800000</v>
      </c>
      <c r="E10" s="3">
        <f t="shared" si="2"/>
        <v>19800000</v>
      </c>
      <c r="F10" s="3">
        <f t="shared" si="2"/>
        <v>19800000</v>
      </c>
      <c r="G10" s="3">
        <f t="shared" si="2"/>
        <v>19800000</v>
      </c>
      <c r="H10" s="3">
        <f t="shared" si="2"/>
        <v>19800000</v>
      </c>
      <c r="I10" s="15"/>
      <c r="J10" s="15"/>
    </row>
    <row r="11" spans="1:11" x14ac:dyDescent="0.3">
      <c r="B11" s="1"/>
      <c r="C11" s="1"/>
      <c r="D11" s="1"/>
      <c r="E11" s="1"/>
      <c r="F11" s="1"/>
      <c r="G11" s="1"/>
      <c r="H11" s="1"/>
    </row>
    <row r="12" spans="1:11" x14ac:dyDescent="0.3">
      <c r="A12" s="15" t="s">
        <v>25</v>
      </c>
      <c r="B12" s="22">
        <f>-(15000000*4)</f>
        <v>-60000000</v>
      </c>
      <c r="C12" s="22">
        <f>C10</f>
        <v>19800000</v>
      </c>
      <c r="D12" s="22">
        <f t="shared" ref="D12:H12" si="3">D10</f>
        <v>19800000</v>
      </c>
      <c r="E12" s="22">
        <f t="shared" si="3"/>
        <v>19800000</v>
      </c>
      <c r="F12" s="22">
        <f t="shared" si="3"/>
        <v>19800000</v>
      </c>
      <c r="G12" s="22">
        <f t="shared" si="3"/>
        <v>19800000</v>
      </c>
      <c r="H12" s="22">
        <f t="shared" si="3"/>
        <v>19800000</v>
      </c>
      <c r="I12" s="15"/>
      <c r="J12" s="15"/>
    </row>
    <row r="13" spans="1:11" x14ac:dyDescent="0.3">
      <c r="A13" t="s">
        <v>23</v>
      </c>
      <c r="B13" s="16">
        <v>1</v>
      </c>
      <c r="C13" s="16">
        <v>0.89285714285714279</v>
      </c>
      <c r="D13" s="16">
        <v>0.79719387755102022</v>
      </c>
      <c r="E13" s="16">
        <v>0.71178024781341087</v>
      </c>
      <c r="F13" s="16">
        <v>0.6355180784048311</v>
      </c>
      <c r="G13" s="16">
        <v>0.56742685571859919</v>
      </c>
      <c r="H13" s="16">
        <v>0.50663112117732068</v>
      </c>
    </row>
    <row r="14" spans="1:11" s="15" customFormat="1" x14ac:dyDescent="0.3">
      <c r="A14"/>
      <c r="B14" s="16"/>
      <c r="C14" s="16"/>
      <c r="D14" s="16"/>
      <c r="E14" s="16"/>
      <c r="F14" s="16"/>
      <c r="G14" s="16"/>
      <c r="H14" s="16"/>
      <c r="I14"/>
      <c r="J14"/>
    </row>
    <row r="15" spans="1:11" x14ac:dyDescent="0.3">
      <c r="A15" t="s">
        <v>24</v>
      </c>
      <c r="B15" s="1">
        <f>B12*B13</f>
        <v>-60000000</v>
      </c>
      <c r="C15" s="1">
        <f t="shared" ref="C15:H15" si="4">C12*C13</f>
        <v>17678571.428571429</v>
      </c>
      <c r="D15" s="1">
        <f t="shared" si="4"/>
        <v>15784438.775510201</v>
      </c>
      <c r="E15" s="1">
        <f t="shared" si="4"/>
        <v>14093248.906705536</v>
      </c>
      <c r="F15" s="1">
        <f t="shared" si="4"/>
        <v>12583257.952415656</v>
      </c>
      <c r="G15" s="1">
        <f t="shared" si="4"/>
        <v>11235051.743228264</v>
      </c>
      <c r="H15" s="1">
        <f t="shared" si="4"/>
        <v>10031296.199310949</v>
      </c>
      <c r="I15" s="22">
        <f>SUM(C15:H15)</f>
        <v>81405865.005742028</v>
      </c>
    </row>
    <row r="16" spans="1:11" s="15" customFormat="1" x14ac:dyDescent="0.3">
      <c r="A16"/>
      <c r="B16" s="1"/>
      <c r="C16" s="1"/>
      <c r="D16" s="1"/>
      <c r="E16" s="1"/>
      <c r="F16" s="1"/>
      <c r="G16" s="1"/>
      <c r="H16" s="1"/>
      <c r="I16"/>
      <c r="J16"/>
    </row>
    <row r="17" spans="2:10" x14ac:dyDescent="0.3">
      <c r="B17" s="1"/>
      <c r="C17" s="1"/>
      <c r="D17" s="1"/>
      <c r="E17" s="1"/>
      <c r="F17" s="1"/>
      <c r="G17" s="1"/>
      <c r="H17" s="1"/>
      <c r="I17" s="22">
        <f>B15+I15</f>
        <v>21405865.005742028</v>
      </c>
      <c r="J17" s="22" t="s">
        <v>27</v>
      </c>
    </row>
    <row r="18" spans="2:10" x14ac:dyDescent="0.3">
      <c r="B18" s="1"/>
      <c r="C18" s="1"/>
      <c r="D18" s="1"/>
      <c r="E18" s="1"/>
      <c r="F18" s="1"/>
      <c r="G18" s="1"/>
      <c r="H18" s="1"/>
      <c r="J18" s="23" t="s">
        <v>28</v>
      </c>
    </row>
    <row r="23" spans="2:10" x14ac:dyDescent="0.3">
      <c r="B23" s="1"/>
      <c r="C23" s="1"/>
      <c r="D23" s="1"/>
      <c r="E23" s="1"/>
      <c r="F23" s="1"/>
      <c r="G23" s="1"/>
      <c r="H23" s="1"/>
    </row>
    <row r="27" spans="2:10" x14ac:dyDescent="0.3">
      <c r="H27" t="s">
        <v>30</v>
      </c>
      <c r="I27" s="3">
        <f>I17</f>
        <v>21405865.005742028</v>
      </c>
    </row>
    <row r="28" spans="2:10" x14ac:dyDescent="0.3">
      <c r="H28" t="s">
        <v>29</v>
      </c>
      <c r="I28" s="3">
        <v>21007997.735102773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A297-F38A-4A7B-8046-578011C30562}">
  <dimension ref="A1:J18"/>
  <sheetViews>
    <sheetView workbookViewId="0">
      <selection activeCell="J18" sqref="J18"/>
    </sheetView>
  </sheetViews>
  <sheetFormatPr defaultRowHeight="14.4" x14ac:dyDescent="0.3"/>
  <cols>
    <col min="1" max="1" width="18.5546875" bestFit="1" customWidth="1"/>
    <col min="2" max="2" width="11.77734375" bestFit="1" customWidth="1"/>
    <col min="3" max="8" width="11.21875" bestFit="1" customWidth="1"/>
    <col min="9" max="9" width="12.21875" bestFit="1" customWidth="1"/>
    <col min="10" max="10" width="42" bestFit="1" customWidth="1"/>
  </cols>
  <sheetData>
    <row r="1" spans="1:10" ht="28.8" x14ac:dyDescent="0.55000000000000004">
      <c r="A1" s="17" t="s">
        <v>29</v>
      </c>
    </row>
    <row r="2" spans="1:10" x14ac:dyDescent="0.3">
      <c r="A2" s="21"/>
      <c r="B2" s="21" t="s">
        <v>15</v>
      </c>
      <c r="C2" s="21" t="s">
        <v>15</v>
      </c>
      <c r="D2" s="21" t="s">
        <v>15</v>
      </c>
      <c r="E2" s="21" t="s">
        <v>15</v>
      </c>
      <c r="F2" s="21" t="s">
        <v>15</v>
      </c>
      <c r="G2" s="21" t="s">
        <v>15</v>
      </c>
      <c r="H2" s="21" t="s">
        <v>15</v>
      </c>
    </row>
    <row r="3" spans="1:10" x14ac:dyDescent="0.3">
      <c r="A3" s="21" t="s">
        <v>20</v>
      </c>
      <c r="B3" s="21">
        <v>0</v>
      </c>
      <c r="C3" s="21">
        <v>1</v>
      </c>
      <c r="D3" s="21">
        <v>2</v>
      </c>
      <c r="E3" s="21">
        <v>3</v>
      </c>
      <c r="F3" s="21">
        <v>4</v>
      </c>
      <c r="G3" s="21">
        <v>5</v>
      </c>
      <c r="H3" s="21">
        <v>6</v>
      </c>
    </row>
    <row r="4" spans="1:10" x14ac:dyDescent="0.3">
      <c r="A4" t="s">
        <v>18</v>
      </c>
      <c r="B4" s="1"/>
      <c r="C4" s="1">
        <v>120000</v>
      </c>
      <c r="D4" s="1">
        <v>120000</v>
      </c>
      <c r="E4" s="1">
        <v>120000</v>
      </c>
      <c r="F4" s="1">
        <v>120000</v>
      </c>
      <c r="G4" s="1">
        <v>120000</v>
      </c>
      <c r="H4" s="1">
        <v>120000</v>
      </c>
    </row>
    <row r="5" spans="1:10" x14ac:dyDescent="0.3">
      <c r="A5" t="s">
        <v>17</v>
      </c>
      <c r="B5" s="1"/>
      <c r="C5" s="1">
        <v>700</v>
      </c>
      <c r="D5" s="1">
        <v>700</v>
      </c>
      <c r="E5" s="1">
        <v>700</v>
      </c>
      <c r="F5" s="1">
        <v>700</v>
      </c>
      <c r="G5" s="1">
        <v>700</v>
      </c>
      <c r="H5" s="1">
        <v>700</v>
      </c>
    </row>
    <row r="6" spans="1:10" s="15" customFormat="1" x14ac:dyDescent="0.3">
      <c r="A6" s="15" t="s">
        <v>21</v>
      </c>
      <c r="B6" s="3"/>
      <c r="C6" s="3">
        <f t="shared" ref="C6:H6" si="0">C4*C5</f>
        <v>84000000</v>
      </c>
      <c r="D6" s="3">
        <f t="shared" si="0"/>
        <v>84000000</v>
      </c>
      <c r="E6" s="3">
        <f t="shared" si="0"/>
        <v>84000000</v>
      </c>
      <c r="F6" s="3">
        <f t="shared" si="0"/>
        <v>84000000</v>
      </c>
      <c r="G6" s="3">
        <f t="shared" si="0"/>
        <v>84000000</v>
      </c>
      <c r="H6" s="3">
        <f t="shared" si="0"/>
        <v>84000000</v>
      </c>
    </row>
    <row r="7" spans="1:10" x14ac:dyDescent="0.3">
      <c r="A7" t="s">
        <v>16</v>
      </c>
      <c r="B7" s="1"/>
      <c r="C7" s="1">
        <v>475</v>
      </c>
      <c r="D7" s="1">
        <v>475</v>
      </c>
      <c r="E7" s="1">
        <v>475</v>
      </c>
      <c r="F7" s="1">
        <v>475</v>
      </c>
      <c r="G7" s="1">
        <v>475</v>
      </c>
      <c r="H7" s="1">
        <v>475</v>
      </c>
    </row>
    <row r="8" spans="1:10" s="15" customFormat="1" x14ac:dyDescent="0.3">
      <c r="A8" s="15" t="s">
        <v>22</v>
      </c>
      <c r="B8" s="3"/>
      <c r="C8" s="3">
        <f t="shared" ref="C8:H8" si="1">C4*C7</f>
        <v>57000000</v>
      </c>
      <c r="D8" s="3">
        <f t="shared" si="1"/>
        <v>57000000</v>
      </c>
      <c r="E8" s="3">
        <f t="shared" si="1"/>
        <v>57000000</v>
      </c>
      <c r="F8" s="3">
        <f t="shared" si="1"/>
        <v>57000000</v>
      </c>
      <c r="G8" s="3">
        <f t="shared" si="1"/>
        <v>57000000</v>
      </c>
      <c r="H8" s="3">
        <f t="shared" si="1"/>
        <v>57000000</v>
      </c>
    </row>
    <row r="9" spans="1:10" x14ac:dyDescent="0.3">
      <c r="B9" s="1"/>
      <c r="C9" s="1"/>
      <c r="D9" s="1"/>
      <c r="E9" s="1"/>
      <c r="F9" s="1"/>
      <c r="G9" s="1"/>
      <c r="H9" s="1"/>
    </row>
    <row r="10" spans="1:10" x14ac:dyDescent="0.3">
      <c r="A10" s="15" t="s">
        <v>19</v>
      </c>
      <c r="B10" s="3"/>
      <c r="C10" s="3">
        <f t="shared" ref="C10:H10" si="2">C6-C8</f>
        <v>27000000</v>
      </c>
      <c r="D10" s="3">
        <f t="shared" si="2"/>
        <v>27000000</v>
      </c>
      <c r="E10" s="3">
        <f t="shared" si="2"/>
        <v>27000000</v>
      </c>
      <c r="F10" s="3">
        <f t="shared" si="2"/>
        <v>27000000</v>
      </c>
      <c r="G10" s="3">
        <f t="shared" si="2"/>
        <v>27000000</v>
      </c>
      <c r="H10" s="3">
        <f t="shared" si="2"/>
        <v>27000000</v>
      </c>
      <c r="I10" s="15"/>
      <c r="J10" s="15"/>
    </row>
    <row r="11" spans="1:10" x14ac:dyDescent="0.3">
      <c r="B11" s="1"/>
      <c r="C11" s="1"/>
      <c r="D11" s="1"/>
      <c r="E11" s="1"/>
      <c r="F11" s="1"/>
      <c r="G11" s="1"/>
      <c r="H11" s="1"/>
    </row>
    <row r="12" spans="1:10" x14ac:dyDescent="0.3">
      <c r="A12" s="15" t="s">
        <v>25</v>
      </c>
      <c r="B12" s="22">
        <f>-90000000</f>
        <v>-90000000</v>
      </c>
      <c r="C12" s="22">
        <f>C10</f>
        <v>27000000</v>
      </c>
      <c r="D12" s="22">
        <f t="shared" ref="D12:H12" si="3">D10</f>
        <v>27000000</v>
      </c>
      <c r="E12" s="22">
        <f t="shared" si="3"/>
        <v>27000000</v>
      </c>
      <c r="F12" s="22">
        <f t="shared" si="3"/>
        <v>27000000</v>
      </c>
      <c r="G12" s="22">
        <f t="shared" si="3"/>
        <v>27000000</v>
      </c>
      <c r="H12" s="22">
        <f t="shared" si="3"/>
        <v>27000000</v>
      </c>
      <c r="I12" s="15"/>
      <c r="J12" s="15"/>
    </row>
    <row r="13" spans="1:10" x14ac:dyDescent="0.3">
      <c r="A13" t="s">
        <v>23</v>
      </c>
      <c r="B13" s="16">
        <v>1</v>
      </c>
      <c r="C13" s="16">
        <v>0.89285714285714279</v>
      </c>
      <c r="D13" s="16">
        <v>0.79719387755102022</v>
      </c>
      <c r="E13" s="16">
        <v>0.71178024781341087</v>
      </c>
      <c r="F13" s="16">
        <v>0.6355180784048311</v>
      </c>
      <c r="G13" s="16">
        <v>0.56742685571859919</v>
      </c>
      <c r="H13" s="16">
        <v>0.50663112117732068</v>
      </c>
    </row>
    <row r="14" spans="1:10" x14ac:dyDescent="0.3">
      <c r="B14" s="16"/>
      <c r="C14" s="16"/>
      <c r="D14" s="16"/>
      <c r="E14" s="16"/>
      <c r="F14" s="16"/>
      <c r="G14" s="16"/>
      <c r="H14" s="16"/>
    </row>
    <row r="15" spans="1:10" x14ac:dyDescent="0.3">
      <c r="A15" t="s">
        <v>24</v>
      </c>
      <c r="B15" s="1">
        <f>B12*B13</f>
        <v>-90000000</v>
      </c>
      <c r="C15" s="1">
        <f t="shared" ref="C15:H15" si="4">C12*C13</f>
        <v>24107142.857142854</v>
      </c>
      <c r="D15" s="1">
        <f t="shared" si="4"/>
        <v>21524234.693877544</v>
      </c>
      <c r="E15" s="1">
        <f t="shared" si="4"/>
        <v>19218066.690962095</v>
      </c>
      <c r="F15" s="1">
        <f t="shared" si="4"/>
        <v>17158988.11693044</v>
      </c>
      <c r="G15" s="1">
        <f t="shared" si="4"/>
        <v>15320525.104402179</v>
      </c>
      <c r="H15" s="1">
        <f t="shared" si="4"/>
        <v>13679040.271787658</v>
      </c>
      <c r="I15" s="24">
        <f>SUM(C15:H15)</f>
        <v>111007997.73510277</v>
      </c>
    </row>
    <row r="16" spans="1:10" x14ac:dyDescent="0.3">
      <c r="B16" s="1"/>
      <c r="C16" s="1"/>
      <c r="D16" s="1"/>
      <c r="E16" s="1"/>
      <c r="F16" s="1"/>
      <c r="G16" s="1"/>
      <c r="H16" s="1"/>
    </row>
    <row r="17" spans="2:10" x14ac:dyDescent="0.3">
      <c r="B17" s="1"/>
      <c r="C17" s="1"/>
      <c r="D17" s="1"/>
      <c r="E17" s="1"/>
      <c r="F17" s="1"/>
      <c r="G17" s="1"/>
      <c r="H17" s="1"/>
      <c r="I17" s="24">
        <f>B15+I15</f>
        <v>21007997.735102773</v>
      </c>
      <c r="J17" s="23" t="s">
        <v>27</v>
      </c>
    </row>
    <row r="18" spans="2:10" x14ac:dyDescent="0.3">
      <c r="B18" s="1"/>
      <c r="C18" s="1"/>
      <c r="D18" s="1"/>
      <c r="E18" s="1"/>
      <c r="F18" s="1"/>
      <c r="G18" s="1"/>
      <c r="H18" s="1"/>
      <c r="J18" s="23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7FA8-CA31-49F9-96FB-68621186695A}">
  <dimension ref="A1:K19"/>
  <sheetViews>
    <sheetView workbookViewId="0">
      <selection activeCell="C8" sqref="C8:H8"/>
    </sheetView>
  </sheetViews>
  <sheetFormatPr defaultRowHeight="14.4" x14ac:dyDescent="0.3"/>
  <cols>
    <col min="1" max="1" width="18.5546875" bestFit="1" customWidth="1"/>
    <col min="2" max="2" width="11.77734375" bestFit="1" customWidth="1"/>
    <col min="3" max="6" width="11.21875" bestFit="1" customWidth="1"/>
    <col min="7" max="8" width="12.21875" bestFit="1" customWidth="1"/>
    <col min="9" max="9" width="13.77734375" bestFit="1" customWidth="1"/>
    <col min="10" max="10" width="42" bestFit="1" customWidth="1"/>
  </cols>
  <sheetData>
    <row r="1" spans="1:11" ht="28.8" x14ac:dyDescent="0.55000000000000004">
      <c r="A1" s="17" t="s">
        <v>31</v>
      </c>
    </row>
    <row r="2" spans="1:11" x14ac:dyDescent="0.3">
      <c r="A2" s="21"/>
      <c r="B2" s="21" t="s">
        <v>15</v>
      </c>
      <c r="C2" s="21" t="s">
        <v>15</v>
      </c>
      <c r="D2" s="21" t="s">
        <v>15</v>
      </c>
      <c r="E2" s="21" t="s">
        <v>15</v>
      </c>
      <c r="F2" s="21" t="s">
        <v>15</v>
      </c>
      <c r="G2" s="21" t="s">
        <v>15</v>
      </c>
      <c r="H2" s="21" t="s">
        <v>15</v>
      </c>
    </row>
    <row r="3" spans="1:11" x14ac:dyDescent="0.3">
      <c r="A3" s="21" t="s">
        <v>20</v>
      </c>
      <c r="B3" s="21">
        <v>0</v>
      </c>
      <c r="C3" s="21">
        <v>1</v>
      </c>
      <c r="D3" s="21">
        <v>2</v>
      </c>
      <c r="E3" s="21">
        <v>3</v>
      </c>
      <c r="F3" s="21">
        <v>4</v>
      </c>
      <c r="G3" s="21">
        <v>5</v>
      </c>
      <c r="H3" s="21">
        <v>6</v>
      </c>
    </row>
    <row r="4" spans="1:11" x14ac:dyDescent="0.3">
      <c r="A4" t="s">
        <v>18</v>
      </c>
      <c r="B4" s="1"/>
      <c r="C4" s="1">
        <v>120000</v>
      </c>
      <c r="D4" s="1">
        <v>120000</v>
      </c>
      <c r="E4" s="1">
        <v>120000</v>
      </c>
      <c r="F4" s="1">
        <v>120000</v>
      </c>
      <c r="G4" s="1">
        <v>120000</v>
      </c>
      <c r="H4" s="1">
        <v>120000</v>
      </c>
      <c r="K4" t="s">
        <v>26</v>
      </c>
    </row>
    <row r="5" spans="1:11" x14ac:dyDescent="0.3">
      <c r="A5" t="s">
        <v>17</v>
      </c>
      <c r="B5" s="1"/>
      <c r="C5" s="1">
        <v>700</v>
      </c>
      <c r="D5" s="1">
        <f>C5+(C5)*5%</f>
        <v>735</v>
      </c>
      <c r="E5" s="1">
        <f t="shared" ref="E5:H5" si="0">D5+(D5)*5%</f>
        <v>771.75</v>
      </c>
      <c r="F5" s="1">
        <f t="shared" si="0"/>
        <v>810.33749999999998</v>
      </c>
      <c r="G5" s="1">
        <f t="shared" si="0"/>
        <v>850.854375</v>
      </c>
      <c r="H5" s="1">
        <f t="shared" si="0"/>
        <v>893.39709375000007</v>
      </c>
    </row>
    <row r="6" spans="1:11" x14ac:dyDescent="0.3">
      <c r="A6" s="15" t="s">
        <v>21</v>
      </c>
      <c r="B6" s="1"/>
      <c r="C6" s="3">
        <f t="shared" ref="C6:H6" si="1">C4*C5</f>
        <v>84000000</v>
      </c>
      <c r="D6" s="3">
        <f t="shared" si="1"/>
        <v>88200000</v>
      </c>
      <c r="E6" s="3">
        <f t="shared" si="1"/>
        <v>92610000</v>
      </c>
      <c r="F6" s="3">
        <f t="shared" si="1"/>
        <v>97240500</v>
      </c>
      <c r="G6" s="3">
        <f t="shared" si="1"/>
        <v>102102525</v>
      </c>
      <c r="H6" s="3">
        <f t="shared" si="1"/>
        <v>107207651.25000001</v>
      </c>
    </row>
    <row r="7" spans="1:11" x14ac:dyDescent="0.3">
      <c r="A7" t="s">
        <v>16</v>
      </c>
      <c r="B7" s="1"/>
      <c r="C7" s="1">
        <v>535</v>
      </c>
      <c r="D7" s="1">
        <f>C7+(C7)*5%</f>
        <v>561.75</v>
      </c>
      <c r="E7" s="1">
        <f>D7+(D7)*5%</f>
        <v>589.83749999999998</v>
      </c>
      <c r="F7" s="1">
        <f>E7+(E7)*5%</f>
        <v>619.32937500000003</v>
      </c>
      <c r="G7" s="1">
        <f>F7+(F7)*5%</f>
        <v>650.29584375000002</v>
      </c>
      <c r="H7" s="1">
        <f>G7+(G7)*5%</f>
        <v>682.81063593750002</v>
      </c>
    </row>
    <row r="8" spans="1:11" x14ac:dyDescent="0.3">
      <c r="A8" s="15" t="s">
        <v>22</v>
      </c>
      <c r="B8" s="1"/>
      <c r="C8" s="3">
        <f t="shared" ref="C8:H8" si="2">C4*C7</f>
        <v>64200000</v>
      </c>
      <c r="D8" s="3">
        <f t="shared" si="2"/>
        <v>67410000</v>
      </c>
      <c r="E8" s="3">
        <f t="shared" si="2"/>
        <v>70780500</v>
      </c>
      <c r="F8" s="3">
        <f t="shared" si="2"/>
        <v>74319525</v>
      </c>
      <c r="G8" s="3">
        <f t="shared" si="2"/>
        <v>78035501.25</v>
      </c>
      <c r="H8" s="3">
        <f t="shared" si="2"/>
        <v>81937276.3125</v>
      </c>
    </row>
    <row r="9" spans="1:11" x14ac:dyDescent="0.3">
      <c r="B9" s="1"/>
      <c r="C9" s="1"/>
      <c r="D9" s="1"/>
      <c r="E9" s="1"/>
      <c r="F9" s="1"/>
      <c r="G9" s="1"/>
      <c r="H9" s="1"/>
    </row>
    <row r="10" spans="1:11" s="15" customFormat="1" x14ac:dyDescent="0.3">
      <c r="A10" s="15" t="s">
        <v>19</v>
      </c>
      <c r="B10" s="3"/>
      <c r="C10" s="3">
        <f t="shared" ref="C10:H10" si="3">C6-C8</f>
        <v>19800000</v>
      </c>
      <c r="D10" s="3">
        <f t="shared" si="3"/>
        <v>20790000</v>
      </c>
      <c r="E10" s="3">
        <f t="shared" si="3"/>
        <v>21829500</v>
      </c>
      <c r="F10" s="3">
        <f t="shared" si="3"/>
        <v>22920975</v>
      </c>
      <c r="G10" s="3">
        <f t="shared" si="3"/>
        <v>24067023.75</v>
      </c>
      <c r="H10" s="3">
        <f t="shared" si="3"/>
        <v>25270374.937500015</v>
      </c>
    </row>
    <row r="11" spans="1:11" x14ac:dyDescent="0.3">
      <c r="B11" s="1"/>
      <c r="C11" s="1"/>
      <c r="D11" s="1"/>
      <c r="E11" s="1"/>
      <c r="F11" s="1"/>
      <c r="G11" s="1"/>
      <c r="H11" s="1"/>
    </row>
    <row r="12" spans="1:11" s="15" customFormat="1" x14ac:dyDescent="0.3">
      <c r="A12" s="15" t="s">
        <v>25</v>
      </c>
      <c r="B12" s="22">
        <f>-(15000000*4)</f>
        <v>-60000000</v>
      </c>
      <c r="C12" s="22">
        <f>C10</f>
        <v>19800000</v>
      </c>
      <c r="D12" s="22">
        <f t="shared" ref="D12:H12" si="4">D10</f>
        <v>20790000</v>
      </c>
      <c r="E12" s="22">
        <f t="shared" si="4"/>
        <v>21829500</v>
      </c>
      <c r="F12" s="22">
        <f t="shared" si="4"/>
        <v>22920975</v>
      </c>
      <c r="G12" s="22">
        <f t="shared" si="4"/>
        <v>24067023.75</v>
      </c>
      <c r="H12" s="22">
        <f t="shared" si="4"/>
        <v>25270374.937500015</v>
      </c>
    </row>
    <row r="13" spans="1:11" x14ac:dyDescent="0.3">
      <c r="A13" t="s">
        <v>23</v>
      </c>
      <c r="B13" s="16">
        <v>1</v>
      </c>
      <c r="C13" s="16">
        <v>0.89285714285714279</v>
      </c>
      <c r="D13" s="16">
        <v>0.79719387755102022</v>
      </c>
      <c r="E13" s="16">
        <v>0.71178024781341087</v>
      </c>
      <c r="F13" s="16">
        <v>0.6355180784048311</v>
      </c>
      <c r="G13" s="16">
        <v>0.56742685571859919</v>
      </c>
      <c r="H13" s="16">
        <v>0.50663112117732068</v>
      </c>
    </row>
    <row r="14" spans="1:11" x14ac:dyDescent="0.3">
      <c r="B14" s="16"/>
      <c r="C14" s="16"/>
      <c r="D14" s="16"/>
      <c r="E14" s="16"/>
      <c r="F14" s="16"/>
      <c r="G14" s="16"/>
      <c r="H14" s="16"/>
    </row>
    <row r="15" spans="1:11" x14ac:dyDescent="0.3">
      <c r="A15" t="s">
        <v>24</v>
      </c>
      <c r="B15" s="1">
        <f>B12*B13</f>
        <v>-60000000</v>
      </c>
      <c r="C15" s="1">
        <f t="shared" ref="C15:H15" si="5">C12*C13</f>
        <v>17678571.428571429</v>
      </c>
      <c r="D15" s="1">
        <f t="shared" si="5"/>
        <v>16573660.714285711</v>
      </c>
      <c r="E15" s="1">
        <f t="shared" si="5"/>
        <v>15537806.919642853</v>
      </c>
      <c r="F15" s="1">
        <f t="shared" si="5"/>
        <v>14566693.987165174</v>
      </c>
      <c r="G15" s="1">
        <f t="shared" si="5"/>
        <v>13656275.61296735</v>
      </c>
      <c r="H15" s="1">
        <f t="shared" si="5"/>
        <v>12802758.387156898</v>
      </c>
      <c r="I15" s="24">
        <f>SUM(C15:H15)</f>
        <v>90815767.049789429</v>
      </c>
    </row>
    <row r="16" spans="1:11" x14ac:dyDescent="0.3">
      <c r="B16" s="1"/>
      <c r="C16" s="1"/>
      <c r="D16" s="1"/>
      <c r="E16" s="1"/>
      <c r="F16" s="1"/>
      <c r="G16" s="1"/>
      <c r="H16" s="1"/>
    </row>
    <row r="17" spans="2:10" x14ac:dyDescent="0.3">
      <c r="B17" s="1"/>
      <c r="C17" s="1"/>
      <c r="D17" s="1"/>
      <c r="E17" s="1"/>
      <c r="F17" s="1"/>
      <c r="G17" s="1"/>
      <c r="H17" s="1"/>
      <c r="I17" s="24">
        <f>B15+I15</f>
        <v>30815767.049789429</v>
      </c>
      <c r="J17" s="23" t="s">
        <v>32</v>
      </c>
    </row>
    <row r="18" spans="2:10" x14ac:dyDescent="0.3">
      <c r="B18" s="1"/>
      <c r="C18" s="1"/>
      <c r="D18" s="1"/>
      <c r="E18" s="1"/>
      <c r="F18" s="1"/>
      <c r="G18" s="1"/>
      <c r="H18" s="1"/>
      <c r="J18" s="23" t="s">
        <v>28</v>
      </c>
    </row>
    <row r="19" spans="2:10" x14ac:dyDescent="0.3"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9CCB-87CC-4FAB-B3B0-37BD760CAAC5}">
  <dimension ref="A1:K19"/>
  <sheetViews>
    <sheetView workbookViewId="0">
      <selection activeCell="C8" sqref="C8:H8"/>
    </sheetView>
  </sheetViews>
  <sheetFormatPr defaultRowHeight="14.4" x14ac:dyDescent="0.3"/>
  <cols>
    <col min="1" max="1" width="18.5546875" bestFit="1" customWidth="1"/>
    <col min="2" max="2" width="11.77734375" bestFit="1" customWidth="1"/>
    <col min="3" max="6" width="11.21875" bestFit="1" customWidth="1"/>
    <col min="7" max="8" width="12.21875" bestFit="1" customWidth="1"/>
    <col min="9" max="9" width="13.77734375" bestFit="1" customWidth="1"/>
    <col min="10" max="10" width="42" bestFit="1" customWidth="1"/>
  </cols>
  <sheetData>
    <row r="1" spans="1:11" ht="28.8" x14ac:dyDescent="0.55000000000000004">
      <c r="A1" s="17" t="s">
        <v>33</v>
      </c>
    </row>
    <row r="2" spans="1:11" x14ac:dyDescent="0.3">
      <c r="A2" s="25"/>
      <c r="B2" s="25" t="s">
        <v>15</v>
      </c>
      <c r="C2" s="25" t="s">
        <v>15</v>
      </c>
      <c r="D2" s="25" t="s">
        <v>15</v>
      </c>
      <c r="E2" s="25" t="s">
        <v>15</v>
      </c>
      <c r="F2" s="25" t="s">
        <v>15</v>
      </c>
      <c r="G2" s="25" t="s">
        <v>15</v>
      </c>
      <c r="H2" s="25" t="s">
        <v>15</v>
      </c>
    </row>
    <row r="3" spans="1:11" x14ac:dyDescent="0.3">
      <c r="A3" s="25" t="s">
        <v>20</v>
      </c>
      <c r="B3" s="25">
        <v>0</v>
      </c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</row>
    <row r="4" spans="1:11" x14ac:dyDescent="0.3">
      <c r="A4" t="s">
        <v>18</v>
      </c>
      <c r="B4" s="1"/>
      <c r="C4" s="1">
        <v>120000</v>
      </c>
      <c r="D4" s="1">
        <v>120000</v>
      </c>
      <c r="E4" s="1">
        <v>120000</v>
      </c>
      <c r="F4" s="1">
        <v>120000</v>
      </c>
      <c r="G4" s="1">
        <v>120000</v>
      </c>
      <c r="H4" s="1">
        <v>120000</v>
      </c>
      <c r="K4" t="s">
        <v>26</v>
      </c>
    </row>
    <row r="5" spans="1:11" x14ac:dyDescent="0.3">
      <c r="A5" t="s">
        <v>17</v>
      </c>
      <c r="B5" s="1"/>
      <c r="C5" s="1">
        <v>700</v>
      </c>
      <c r="D5" s="1">
        <f>C5+(C5)*5%</f>
        <v>735</v>
      </c>
      <c r="E5" s="1">
        <f t="shared" ref="E5:H5" si="0">D5+(D5)*5%</f>
        <v>771.75</v>
      </c>
      <c r="F5" s="1">
        <f t="shared" si="0"/>
        <v>810.33749999999998</v>
      </c>
      <c r="G5" s="1">
        <f t="shared" si="0"/>
        <v>850.854375</v>
      </c>
      <c r="H5" s="1">
        <f t="shared" si="0"/>
        <v>893.39709375000007</v>
      </c>
    </row>
    <row r="6" spans="1:11" x14ac:dyDescent="0.3">
      <c r="A6" s="15" t="s">
        <v>21</v>
      </c>
      <c r="B6" s="1"/>
      <c r="C6" s="3">
        <f t="shared" ref="C6:H6" si="1">C4*C5</f>
        <v>84000000</v>
      </c>
      <c r="D6" s="3">
        <f t="shared" si="1"/>
        <v>88200000</v>
      </c>
      <c r="E6" s="3">
        <f t="shared" si="1"/>
        <v>92610000</v>
      </c>
      <c r="F6" s="3">
        <f t="shared" si="1"/>
        <v>97240500</v>
      </c>
      <c r="G6" s="3">
        <f t="shared" si="1"/>
        <v>102102525</v>
      </c>
      <c r="H6" s="3">
        <f t="shared" si="1"/>
        <v>107207651.25000001</v>
      </c>
    </row>
    <row r="7" spans="1:11" x14ac:dyDescent="0.3">
      <c r="A7" t="s">
        <v>16</v>
      </c>
      <c r="B7" s="1"/>
      <c r="C7" s="1">
        <v>535</v>
      </c>
      <c r="D7" s="1">
        <f>C7+(C7)*5%</f>
        <v>561.75</v>
      </c>
      <c r="E7" s="1">
        <f>D7+(D7)*5%</f>
        <v>589.83749999999998</v>
      </c>
      <c r="F7" s="1">
        <f>E7+(E7)*5%</f>
        <v>619.32937500000003</v>
      </c>
      <c r="G7" s="1">
        <f>F7+(F7)*5%</f>
        <v>650.29584375000002</v>
      </c>
      <c r="H7" s="1">
        <f>G7+(G7)*5%</f>
        <v>682.81063593750002</v>
      </c>
    </row>
    <row r="8" spans="1:11" x14ac:dyDescent="0.3">
      <c r="A8" s="15" t="s">
        <v>22</v>
      </c>
      <c r="B8" s="1"/>
      <c r="C8" s="3">
        <f t="shared" ref="C8:H8" si="2">C4*C7</f>
        <v>64200000</v>
      </c>
      <c r="D8" s="3">
        <f t="shared" si="2"/>
        <v>67410000</v>
      </c>
      <c r="E8" s="3">
        <f t="shared" si="2"/>
        <v>70780500</v>
      </c>
      <c r="F8" s="3">
        <f t="shared" si="2"/>
        <v>74319525</v>
      </c>
      <c r="G8" s="3">
        <f t="shared" si="2"/>
        <v>78035501.25</v>
      </c>
      <c r="H8" s="3">
        <f t="shared" si="2"/>
        <v>81937276.3125</v>
      </c>
    </row>
    <row r="9" spans="1:11" x14ac:dyDescent="0.3">
      <c r="B9" s="1"/>
      <c r="C9" s="1"/>
      <c r="D9" s="1"/>
      <c r="E9" s="1"/>
      <c r="F9" s="1"/>
      <c r="G9" s="1"/>
      <c r="H9" s="1"/>
    </row>
    <row r="10" spans="1:11" s="15" customFormat="1" x14ac:dyDescent="0.3">
      <c r="A10" s="15" t="s">
        <v>19</v>
      </c>
      <c r="B10" s="3"/>
      <c r="C10" s="3">
        <f t="shared" ref="C10:H10" si="3">C6-C8</f>
        <v>19800000</v>
      </c>
      <c r="D10" s="3">
        <f t="shared" si="3"/>
        <v>20790000</v>
      </c>
      <c r="E10" s="3">
        <f t="shared" si="3"/>
        <v>21829500</v>
      </c>
      <c r="F10" s="3">
        <f t="shared" si="3"/>
        <v>22920975</v>
      </c>
      <c r="G10" s="3">
        <f t="shared" si="3"/>
        <v>24067023.75</v>
      </c>
      <c r="H10" s="3">
        <f t="shared" si="3"/>
        <v>25270374.937500015</v>
      </c>
    </row>
    <row r="11" spans="1:11" x14ac:dyDescent="0.3">
      <c r="B11" s="1"/>
      <c r="C11" s="1"/>
      <c r="D11" s="1"/>
      <c r="E11" s="1"/>
      <c r="F11" s="1"/>
      <c r="G11" s="1"/>
      <c r="H11" s="1"/>
    </row>
    <row r="12" spans="1:11" s="15" customFormat="1" x14ac:dyDescent="0.3">
      <c r="A12" s="15" t="s">
        <v>25</v>
      </c>
      <c r="B12" s="22">
        <v>-90000000</v>
      </c>
      <c r="C12" s="22">
        <f>C10</f>
        <v>19800000</v>
      </c>
      <c r="D12" s="22">
        <f t="shared" ref="D12:H12" si="4">D10</f>
        <v>20790000</v>
      </c>
      <c r="E12" s="22">
        <f t="shared" si="4"/>
        <v>21829500</v>
      </c>
      <c r="F12" s="22">
        <f t="shared" si="4"/>
        <v>22920975</v>
      </c>
      <c r="G12" s="22">
        <f t="shared" si="4"/>
        <v>24067023.75</v>
      </c>
      <c r="H12" s="22">
        <f t="shared" si="4"/>
        <v>25270374.937500015</v>
      </c>
    </row>
    <row r="13" spans="1:11" x14ac:dyDescent="0.3">
      <c r="A13" t="s">
        <v>23</v>
      </c>
      <c r="B13" s="16">
        <v>1</v>
      </c>
      <c r="C13" s="16">
        <v>0.89285714285714279</v>
      </c>
      <c r="D13" s="16">
        <v>0.79719387755102022</v>
      </c>
      <c r="E13" s="16">
        <v>0.71178024781341087</v>
      </c>
      <c r="F13" s="16">
        <v>0.6355180784048311</v>
      </c>
      <c r="G13" s="16">
        <v>0.56742685571859919</v>
      </c>
      <c r="H13" s="16">
        <v>0.50663112117732068</v>
      </c>
    </row>
    <row r="14" spans="1:11" x14ac:dyDescent="0.3">
      <c r="B14" s="16"/>
      <c r="C14" s="16"/>
      <c r="D14" s="16"/>
      <c r="E14" s="16"/>
      <c r="F14" s="16"/>
      <c r="G14" s="16"/>
      <c r="H14" s="16"/>
    </row>
    <row r="15" spans="1:11" x14ac:dyDescent="0.3">
      <c r="A15" t="s">
        <v>24</v>
      </c>
      <c r="B15" s="1">
        <f>B12*B13</f>
        <v>-90000000</v>
      </c>
      <c r="C15" s="1">
        <f t="shared" ref="C15:H15" si="5">C12*C13</f>
        <v>17678571.428571429</v>
      </c>
      <c r="D15" s="1">
        <f t="shared" si="5"/>
        <v>16573660.714285711</v>
      </c>
      <c r="E15" s="1">
        <f t="shared" si="5"/>
        <v>15537806.919642853</v>
      </c>
      <c r="F15" s="1">
        <f t="shared" si="5"/>
        <v>14566693.987165174</v>
      </c>
      <c r="G15" s="1">
        <f t="shared" si="5"/>
        <v>13656275.61296735</v>
      </c>
      <c r="H15" s="1">
        <f t="shared" si="5"/>
        <v>12802758.387156898</v>
      </c>
      <c r="I15" s="22">
        <f>SUM(C15:H15)</f>
        <v>90815767.049789429</v>
      </c>
    </row>
    <row r="16" spans="1:11" x14ac:dyDescent="0.3">
      <c r="B16" s="1"/>
      <c r="C16" s="1"/>
      <c r="D16" s="1"/>
      <c r="E16" s="1"/>
      <c r="F16" s="1"/>
      <c r="G16" s="1"/>
      <c r="H16" s="1"/>
    </row>
    <row r="17" spans="2:10" x14ac:dyDescent="0.3">
      <c r="B17" s="1"/>
      <c r="C17" s="1"/>
      <c r="D17" s="1"/>
      <c r="E17" s="1"/>
      <c r="F17" s="1"/>
      <c r="G17" s="1"/>
      <c r="H17" s="1"/>
      <c r="I17" s="24">
        <f>B15+I15</f>
        <v>815767.04978942871</v>
      </c>
      <c r="J17" s="23" t="s">
        <v>27</v>
      </c>
    </row>
    <row r="18" spans="2:10" x14ac:dyDescent="0.3">
      <c r="B18" s="1"/>
      <c r="C18" s="1"/>
      <c r="D18" s="1"/>
      <c r="E18" s="1"/>
      <c r="F18" s="1"/>
      <c r="G18" s="1"/>
      <c r="H18" s="1"/>
      <c r="J18" s="23" t="s">
        <v>28</v>
      </c>
    </row>
    <row r="19" spans="2:10" x14ac:dyDescent="0.3"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5EB2-05B8-46C4-868B-1978431DB99D}">
  <dimension ref="A1:P41"/>
  <sheetViews>
    <sheetView workbookViewId="0">
      <selection activeCell="F24" sqref="F24"/>
    </sheetView>
  </sheetViews>
  <sheetFormatPr defaultRowHeight="14.4" x14ac:dyDescent="0.3"/>
  <cols>
    <col min="1" max="1" width="7.21875" bestFit="1" customWidth="1"/>
    <col min="2" max="2" width="9.21875" bestFit="1" customWidth="1"/>
    <col min="3" max="3" width="11.21875" bestFit="1" customWidth="1"/>
    <col min="4" max="4" width="9.21875" bestFit="1" customWidth="1"/>
    <col min="5" max="5" width="16.5546875" bestFit="1" customWidth="1"/>
    <col min="6" max="6" width="11.21875" bestFit="1" customWidth="1"/>
    <col min="7" max="10" width="9.77734375" bestFit="1" customWidth="1"/>
    <col min="13" max="13" width="9.21875" bestFit="1" customWidth="1"/>
    <col min="14" max="14" width="11.21875" style="1" bestFit="1" customWidth="1"/>
  </cols>
  <sheetData>
    <row r="1" spans="1:16" x14ac:dyDescent="0.3">
      <c r="A1" s="14"/>
      <c r="B1" s="14" t="s">
        <v>13</v>
      </c>
      <c r="C1" s="14" t="s">
        <v>12</v>
      </c>
      <c r="D1" s="14" t="s">
        <v>11</v>
      </c>
      <c r="E1" s="14" t="s">
        <v>14</v>
      </c>
      <c r="F1" s="14" t="s">
        <v>13</v>
      </c>
      <c r="G1" s="14" t="s">
        <v>12</v>
      </c>
      <c r="H1" s="14" t="s">
        <v>11</v>
      </c>
      <c r="N1"/>
    </row>
    <row r="2" spans="1:16" x14ac:dyDescent="0.3">
      <c r="A2" s="14" t="s">
        <v>7</v>
      </c>
      <c r="B2" s="14" t="s">
        <v>6</v>
      </c>
      <c r="C2" s="14" t="s">
        <v>6</v>
      </c>
      <c r="D2" s="14" t="s">
        <v>6</v>
      </c>
      <c r="E2" s="14" t="s">
        <v>10</v>
      </c>
      <c r="F2" s="14" t="s">
        <v>9</v>
      </c>
      <c r="G2" s="14" t="s">
        <v>9</v>
      </c>
      <c r="H2" s="14" t="s">
        <v>9</v>
      </c>
      <c r="J2">
        <f>1/1.1</f>
        <v>0.90909090909090906</v>
      </c>
      <c r="N2"/>
      <c r="P2" s="9"/>
    </row>
    <row r="3" spans="1:16" x14ac:dyDescent="0.3">
      <c r="A3" s="11">
        <v>0</v>
      </c>
      <c r="B3" s="11">
        <v>-500000</v>
      </c>
      <c r="C3" s="33">
        <v>-500000</v>
      </c>
      <c r="D3" s="11">
        <v>-500000</v>
      </c>
      <c r="E3" s="12">
        <v>1</v>
      </c>
      <c r="F3" s="11">
        <f t="shared" ref="F3:H8" si="0">B3*$E3</f>
        <v>-500000</v>
      </c>
      <c r="G3" s="11">
        <f t="shared" si="0"/>
        <v>-500000</v>
      </c>
      <c r="H3" s="11">
        <f t="shared" si="0"/>
        <v>-500000</v>
      </c>
      <c r="J3">
        <f>J2/1.1</f>
        <v>0.82644628099173545</v>
      </c>
      <c r="N3"/>
    </row>
    <row r="4" spans="1:16" x14ac:dyDescent="0.3">
      <c r="A4" s="13">
        <v>1</v>
      </c>
      <c r="B4" s="11">
        <v>90000</v>
      </c>
      <c r="C4" s="33">
        <v>120000</v>
      </c>
      <c r="D4" s="11">
        <v>150000</v>
      </c>
      <c r="E4" s="12">
        <v>0.90909090909090906</v>
      </c>
      <c r="F4" s="11">
        <f t="shared" si="0"/>
        <v>81818.181818181809</v>
      </c>
      <c r="G4" s="11">
        <f t="shared" si="0"/>
        <v>109090.90909090909</v>
      </c>
      <c r="H4" s="11">
        <f t="shared" si="0"/>
        <v>136363.63636363635</v>
      </c>
      <c r="J4">
        <f>J3/1.1</f>
        <v>0.75131480090157765</v>
      </c>
      <c r="N4"/>
    </row>
    <row r="5" spans="1:16" x14ac:dyDescent="0.3">
      <c r="A5" s="11">
        <v>2</v>
      </c>
      <c r="B5" s="11">
        <v>90000</v>
      </c>
      <c r="C5" s="33">
        <v>120000</v>
      </c>
      <c r="D5" s="11">
        <v>150000</v>
      </c>
      <c r="E5" s="12">
        <v>0.82644628099173545</v>
      </c>
      <c r="F5" s="11">
        <f t="shared" si="0"/>
        <v>74380.165289256183</v>
      </c>
      <c r="G5" s="11">
        <f t="shared" si="0"/>
        <v>99173.553719008254</v>
      </c>
      <c r="H5" s="11">
        <f t="shared" si="0"/>
        <v>123966.94214876031</v>
      </c>
      <c r="J5">
        <f>J4/1.1</f>
        <v>0.68301345536507052</v>
      </c>
      <c r="N5"/>
    </row>
    <row r="6" spans="1:16" x14ac:dyDescent="0.3">
      <c r="A6" s="11">
        <v>3</v>
      </c>
      <c r="B6" s="11">
        <v>90000</v>
      </c>
      <c r="C6" s="33">
        <v>120000</v>
      </c>
      <c r="D6" s="11">
        <v>150000</v>
      </c>
      <c r="E6" s="12">
        <v>0.75131480090157765</v>
      </c>
      <c r="F6" s="11">
        <f t="shared" si="0"/>
        <v>67618.332081141984</v>
      </c>
      <c r="G6" s="11">
        <f t="shared" si="0"/>
        <v>90157.776108189311</v>
      </c>
      <c r="H6" s="11">
        <f t="shared" si="0"/>
        <v>112697.22013523665</v>
      </c>
      <c r="J6">
        <f>J5/1.1</f>
        <v>0.62092132305915493</v>
      </c>
      <c r="N6"/>
    </row>
    <row r="7" spans="1:16" x14ac:dyDescent="0.3">
      <c r="A7" s="11">
        <v>4</v>
      </c>
      <c r="B7" s="11">
        <v>90000</v>
      </c>
      <c r="C7" s="33">
        <v>120000</v>
      </c>
      <c r="D7" s="11">
        <v>150000</v>
      </c>
      <c r="E7" s="12">
        <v>0.68301345536507052</v>
      </c>
      <c r="F7" s="11">
        <f t="shared" si="0"/>
        <v>61471.210982856348</v>
      </c>
      <c r="G7" s="11">
        <f t="shared" si="0"/>
        <v>81961.614643808469</v>
      </c>
      <c r="H7" s="11">
        <f t="shared" si="0"/>
        <v>102452.01830476058</v>
      </c>
      <c r="N7"/>
    </row>
    <row r="8" spans="1:16" x14ac:dyDescent="0.3">
      <c r="A8" s="11">
        <v>5</v>
      </c>
      <c r="B8" s="11">
        <v>90000</v>
      </c>
      <c r="C8" s="33">
        <v>120000</v>
      </c>
      <c r="D8" s="11">
        <v>150000</v>
      </c>
      <c r="E8" s="12">
        <v>0.62092132305915493</v>
      </c>
      <c r="F8" s="11">
        <f t="shared" si="0"/>
        <v>55882.919075323945</v>
      </c>
      <c r="G8" s="11">
        <f t="shared" si="0"/>
        <v>74510.558767098584</v>
      </c>
      <c r="H8" s="11">
        <f t="shared" si="0"/>
        <v>93138.198458873245</v>
      </c>
      <c r="N8"/>
    </row>
    <row r="9" spans="1:16" x14ac:dyDescent="0.3">
      <c r="A9" s="10"/>
      <c r="B9" s="10"/>
      <c r="C9" s="10"/>
      <c r="D9" s="10"/>
      <c r="E9" s="10"/>
      <c r="F9" s="10">
        <f>SUM(F3:F8)</f>
        <v>-158829.1907532397</v>
      </c>
      <c r="G9" s="10">
        <f>SUM(G3:G8)</f>
        <v>-45105.587670986351</v>
      </c>
      <c r="H9" s="10">
        <f>SUM(H3:H8)</f>
        <v>68618.015411267144</v>
      </c>
      <c r="N9"/>
    </row>
    <row r="10" spans="1:16" x14ac:dyDescent="0.3">
      <c r="N10"/>
    </row>
    <row r="11" spans="1:16" x14ac:dyDescent="0.3">
      <c r="C11" s="34">
        <v>120000</v>
      </c>
    </row>
    <row r="12" spans="1:16" x14ac:dyDescent="0.3">
      <c r="C12" s="9">
        <v>1.1000000000000001</v>
      </c>
    </row>
    <row r="13" spans="1:16" x14ac:dyDescent="0.3">
      <c r="A13" s="30" t="s">
        <v>7</v>
      </c>
      <c r="B13" s="30">
        <v>0</v>
      </c>
      <c r="C13" s="30">
        <v>1</v>
      </c>
      <c r="D13" s="30">
        <v>2</v>
      </c>
      <c r="E13" s="30">
        <v>3</v>
      </c>
      <c r="F13" s="30">
        <v>4</v>
      </c>
      <c r="G13" s="30">
        <v>5</v>
      </c>
      <c r="H13" s="30"/>
      <c r="I13" s="30"/>
      <c r="J13" s="30"/>
      <c r="K13" s="1"/>
    </row>
    <row r="14" spans="1:16" x14ac:dyDescent="0.3">
      <c r="A14" s="30" t="s">
        <v>6</v>
      </c>
      <c r="B14" s="30">
        <v>-500000</v>
      </c>
      <c r="C14" s="30">
        <v>120000</v>
      </c>
      <c r="D14" s="30">
        <v>120000</v>
      </c>
      <c r="E14" s="30">
        <v>120000</v>
      </c>
      <c r="F14" s="30">
        <v>120000</v>
      </c>
      <c r="G14" s="30">
        <v>120000</v>
      </c>
      <c r="H14" s="30"/>
      <c r="I14" s="30"/>
      <c r="J14" s="30"/>
      <c r="K14" s="1"/>
    </row>
    <row r="15" spans="1:16" x14ac:dyDescent="0.3">
      <c r="A15" s="30"/>
      <c r="B15" s="30"/>
      <c r="C15" s="31">
        <v>1.1000000000000001</v>
      </c>
      <c r="D15" s="31">
        <v>1.1000000000000001</v>
      </c>
      <c r="E15" s="31">
        <v>1.1000000000000001</v>
      </c>
      <c r="F15" s="31">
        <v>1.1000000000000001</v>
      </c>
      <c r="G15" s="31">
        <v>1.1000000000000001</v>
      </c>
      <c r="H15" s="30"/>
      <c r="I15" s="30"/>
      <c r="J15" s="30"/>
      <c r="K15" s="1"/>
    </row>
    <row r="16" spans="1:16" x14ac:dyDescent="0.3">
      <c r="A16" s="30"/>
      <c r="B16" s="30"/>
      <c r="C16" s="30"/>
      <c r="D16" s="30">
        <f>D14/D15</f>
        <v>109090.90909090909</v>
      </c>
      <c r="E16" s="30">
        <f>E14/E15</f>
        <v>109090.90909090909</v>
      </c>
      <c r="F16" s="31">
        <v>1.1000000000000001</v>
      </c>
      <c r="G16" s="31">
        <v>1.1000000000000001</v>
      </c>
      <c r="H16" s="30"/>
      <c r="I16" s="30"/>
      <c r="J16" s="30"/>
      <c r="K16" s="1"/>
    </row>
    <row r="17" spans="1:11" x14ac:dyDescent="0.3">
      <c r="A17" s="30"/>
      <c r="B17" s="30"/>
      <c r="C17" s="30"/>
      <c r="D17" s="31">
        <v>1.1000000000000001</v>
      </c>
      <c r="E17" s="31">
        <v>1.1000000000000001</v>
      </c>
      <c r="F17" s="31">
        <v>1.1000000000000001</v>
      </c>
      <c r="G17" s="31">
        <v>1.1000000000000001</v>
      </c>
      <c r="H17" s="30"/>
      <c r="I17" s="30"/>
      <c r="J17" s="30"/>
      <c r="K17" s="1"/>
    </row>
    <row r="18" spans="1:11" x14ac:dyDescent="0.3">
      <c r="A18" s="30"/>
      <c r="B18" s="30"/>
      <c r="C18" s="30"/>
      <c r="D18" s="30">
        <f>D16/D17</f>
        <v>99173.553719008254</v>
      </c>
      <c r="E18" s="30">
        <f>E16/E17</f>
        <v>99173.553719008254</v>
      </c>
      <c r="F18" s="31">
        <v>1.1000000000000001</v>
      </c>
      <c r="G18" s="31">
        <v>1.1000000000000001</v>
      </c>
      <c r="H18" s="30"/>
      <c r="I18" s="30"/>
      <c r="J18" s="30"/>
      <c r="K18" s="1"/>
    </row>
    <row r="19" spans="1:11" x14ac:dyDescent="0.3">
      <c r="A19" s="30"/>
      <c r="B19" s="30"/>
      <c r="C19" s="30"/>
      <c r="D19" s="30"/>
      <c r="E19" s="31">
        <v>1.1000000000000001</v>
      </c>
      <c r="F19" s="30"/>
      <c r="G19" s="31">
        <v>1.1000000000000001</v>
      </c>
      <c r="H19" s="30"/>
      <c r="I19" s="30"/>
      <c r="J19" s="30"/>
      <c r="K19" s="1"/>
    </row>
    <row r="20" spans="1:11" x14ac:dyDescent="0.3">
      <c r="A20" s="30"/>
      <c r="B20" s="30"/>
      <c r="C20" s="30"/>
      <c r="D20" s="30"/>
      <c r="E20" s="30">
        <f>E18/E19</f>
        <v>90157.776108189311</v>
      </c>
      <c r="F20" s="30"/>
      <c r="G20" s="30"/>
      <c r="H20" s="30"/>
      <c r="I20" s="30"/>
      <c r="J20" s="30"/>
      <c r="K20" s="1"/>
    </row>
    <row r="21" spans="1:11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1"/>
    </row>
    <row r="22" spans="1:11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1"/>
    </row>
    <row r="23" spans="1:11" x14ac:dyDescent="0.3">
      <c r="A23" s="30"/>
      <c r="B23" s="27" t="s">
        <v>5</v>
      </c>
      <c r="C23" s="27" t="s">
        <v>4</v>
      </c>
      <c r="D23" s="27"/>
      <c r="E23" s="27"/>
      <c r="F23" s="27"/>
      <c r="G23" s="27"/>
      <c r="H23" s="30"/>
      <c r="I23" s="30"/>
      <c r="J23" s="30"/>
      <c r="K23" s="1"/>
    </row>
    <row r="24" spans="1:11" x14ac:dyDescent="0.3">
      <c r="A24" s="30"/>
      <c r="B24" s="28">
        <v>-500000</v>
      </c>
      <c r="C24" s="29">
        <f>C14/C15</f>
        <v>109090.90909090909</v>
      </c>
      <c r="D24" s="29">
        <f>D14/D15/D17</f>
        <v>99173.553719008254</v>
      </c>
      <c r="E24" s="29">
        <f>E14/E15/E17/E19</f>
        <v>90157.776108189311</v>
      </c>
      <c r="F24" s="29">
        <f>F14/F15/F16/F17/F18</f>
        <v>81961.614643808454</v>
      </c>
      <c r="G24" s="29">
        <f>G14/G15/G16/G17/G18/G19</f>
        <v>74510.558767098584</v>
      </c>
      <c r="H24" s="30"/>
      <c r="I24" s="32">
        <f>SUM(C24:G24)</f>
        <v>454894.41232901369</v>
      </c>
      <c r="J24" s="32">
        <f>B24+I24</f>
        <v>-45105.587670986308</v>
      </c>
      <c r="K24" s="3" t="s">
        <v>8</v>
      </c>
    </row>
    <row r="25" spans="1:11" x14ac:dyDescent="0.3">
      <c r="A25" s="30"/>
      <c r="B25" s="30" t="s">
        <v>2</v>
      </c>
      <c r="C25" s="30" t="s">
        <v>1</v>
      </c>
      <c r="D25" s="30" t="s">
        <v>0</v>
      </c>
      <c r="E25" s="30"/>
      <c r="F25" s="30"/>
      <c r="G25" s="30"/>
      <c r="H25" s="30"/>
      <c r="I25" s="30"/>
      <c r="J25" s="30"/>
      <c r="K25" s="1"/>
    </row>
    <row r="26" spans="1:11" x14ac:dyDescent="0.3">
      <c r="K26" s="1"/>
    </row>
    <row r="27" spans="1:11" x14ac:dyDescent="0.3">
      <c r="C27">
        <f>120000/110%</f>
        <v>109090.90909090909</v>
      </c>
      <c r="K27" s="1"/>
    </row>
    <row r="29" spans="1:11" x14ac:dyDescent="0.3">
      <c r="A29" s="2" t="s">
        <v>7</v>
      </c>
      <c r="B29" s="2">
        <v>0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/>
      <c r="I29" s="2"/>
      <c r="J29" s="2"/>
      <c r="K29" s="1"/>
    </row>
    <row r="30" spans="1:11" x14ac:dyDescent="0.3">
      <c r="A30" s="2" t="s">
        <v>6</v>
      </c>
      <c r="B30" s="2">
        <v>-500000</v>
      </c>
      <c r="C30" s="2">
        <v>150000</v>
      </c>
      <c r="D30" s="2">
        <v>150000</v>
      </c>
      <c r="E30" s="2">
        <v>150000</v>
      </c>
      <c r="F30" s="2">
        <v>150000</v>
      </c>
      <c r="G30" s="2">
        <v>150000</v>
      </c>
      <c r="H30" s="2"/>
      <c r="I30" s="2"/>
      <c r="J30" s="2"/>
      <c r="K30" s="1"/>
    </row>
    <row r="31" spans="1:11" x14ac:dyDescent="0.3">
      <c r="A31" s="2"/>
      <c r="B31" s="2"/>
      <c r="C31" s="8">
        <v>1.1000000000000001</v>
      </c>
      <c r="D31" s="8">
        <v>1.1000000000000001</v>
      </c>
      <c r="E31" s="8">
        <v>1.1000000000000001</v>
      </c>
      <c r="F31" s="8">
        <v>1.1000000000000001</v>
      </c>
      <c r="G31" s="8">
        <v>1.1000000000000001</v>
      </c>
      <c r="H31" s="2"/>
      <c r="I31" s="2"/>
      <c r="J31" s="2"/>
      <c r="K31" s="1"/>
    </row>
    <row r="32" spans="1:11" x14ac:dyDescent="0.3">
      <c r="A32" s="2"/>
      <c r="B32" s="2"/>
      <c r="C32" s="2"/>
      <c r="D32" s="2">
        <f>D30/D31</f>
        <v>136363.63636363635</v>
      </c>
      <c r="E32" s="2">
        <f>E30/E31</f>
        <v>136363.63636363635</v>
      </c>
      <c r="F32" s="8">
        <v>1.1000000000000001</v>
      </c>
      <c r="G32" s="8">
        <v>1.1000000000000001</v>
      </c>
      <c r="H32" s="2"/>
      <c r="I32" s="2"/>
      <c r="J32" s="2"/>
      <c r="K32" s="1"/>
    </row>
    <row r="33" spans="1:11" x14ac:dyDescent="0.3">
      <c r="A33" s="2"/>
      <c r="B33" s="2"/>
      <c r="C33" s="2"/>
      <c r="D33" s="8">
        <v>1.1000000000000001</v>
      </c>
      <c r="E33" s="8">
        <v>1.1000000000000001</v>
      </c>
      <c r="F33" s="8">
        <v>1.1000000000000001</v>
      </c>
      <c r="G33" s="8">
        <v>1.1000000000000001</v>
      </c>
      <c r="H33" s="2"/>
      <c r="I33" s="2"/>
      <c r="J33" s="2"/>
      <c r="K33" s="1"/>
    </row>
    <row r="34" spans="1:11" x14ac:dyDescent="0.3">
      <c r="A34" s="2"/>
      <c r="B34" s="2"/>
      <c r="C34" s="2"/>
      <c r="D34" s="2">
        <f>D32/D33</f>
        <v>123966.94214876031</v>
      </c>
      <c r="E34" s="2">
        <f>E32/E33</f>
        <v>123966.94214876031</v>
      </c>
      <c r="F34" s="8">
        <v>1.1000000000000001</v>
      </c>
      <c r="G34" s="8">
        <v>1.1000000000000001</v>
      </c>
      <c r="H34" s="2"/>
      <c r="I34" s="2"/>
      <c r="J34" s="2"/>
      <c r="K34" s="1"/>
    </row>
    <row r="35" spans="1:11" x14ac:dyDescent="0.3">
      <c r="A35" s="2"/>
      <c r="B35" s="2"/>
      <c r="C35" s="2"/>
      <c r="D35" s="2"/>
      <c r="E35" s="8">
        <v>1.1000000000000001</v>
      </c>
      <c r="F35" s="2"/>
      <c r="G35" s="8">
        <v>1.1000000000000001</v>
      </c>
      <c r="H35" s="2"/>
      <c r="I35" s="2"/>
      <c r="J35" s="2"/>
      <c r="K35" s="1"/>
    </row>
    <row r="36" spans="1:11" x14ac:dyDescent="0.3">
      <c r="A36" s="2"/>
      <c r="B36" s="2"/>
      <c r="C36" s="2"/>
      <c r="D36" s="2"/>
      <c r="E36" s="2">
        <f>E34/E35</f>
        <v>112697.22013523664</v>
      </c>
      <c r="F36" s="2"/>
      <c r="G36" s="2"/>
      <c r="H36" s="2"/>
      <c r="I36" s="2"/>
      <c r="J36" s="2"/>
      <c r="K36" s="1"/>
    </row>
    <row r="37" spans="1:1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1"/>
    </row>
    <row r="38" spans="1:1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1"/>
    </row>
    <row r="39" spans="1:11" x14ac:dyDescent="0.3">
      <c r="A39" s="2"/>
      <c r="B39" s="7" t="s">
        <v>5</v>
      </c>
      <c r="C39" s="6" t="s">
        <v>4</v>
      </c>
      <c r="D39" s="6"/>
      <c r="E39" s="6"/>
      <c r="F39" s="6"/>
      <c r="G39" s="6"/>
      <c r="H39" s="2"/>
      <c r="I39" s="2"/>
      <c r="J39" s="2"/>
      <c r="K39" s="1"/>
    </row>
    <row r="40" spans="1:11" x14ac:dyDescent="0.3">
      <c r="A40" s="2"/>
      <c r="B40" s="2">
        <v>-500000</v>
      </c>
      <c r="C40" s="5">
        <f>C30/C31</f>
        <v>136363.63636363635</v>
      </c>
      <c r="D40" s="5">
        <f>D30/D31/D33</f>
        <v>123966.94214876031</v>
      </c>
      <c r="E40" s="5">
        <f>E30/E31/E33/E35</f>
        <v>112697.22013523664</v>
      </c>
      <c r="F40" s="5">
        <f>F30/F31/F32/F33/F34</f>
        <v>102452.01830476057</v>
      </c>
      <c r="G40" s="5">
        <f>G30/G31/G32/G33/G34/G35</f>
        <v>93138.19845887323</v>
      </c>
      <c r="H40" s="2"/>
      <c r="I40" s="4">
        <f>SUM(C40:G40)</f>
        <v>568618.01541126706</v>
      </c>
      <c r="J40" s="4">
        <f>B40+I40</f>
        <v>68618.015411267057</v>
      </c>
      <c r="K40" s="3" t="s">
        <v>3</v>
      </c>
    </row>
    <row r="41" spans="1:11" x14ac:dyDescent="0.3">
      <c r="A41" s="2"/>
      <c r="B41" s="2" t="s">
        <v>2</v>
      </c>
      <c r="C41" s="2" t="s">
        <v>1</v>
      </c>
      <c r="D41" s="2" t="s">
        <v>0</v>
      </c>
      <c r="E41" s="2"/>
      <c r="F41" s="2"/>
      <c r="G41" s="2"/>
      <c r="H41" s="2"/>
      <c r="I41" s="2"/>
      <c r="J41" s="2"/>
      <c r="K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 CASE 1</vt:lpstr>
      <vt:lpstr>CASE 2</vt:lpstr>
      <vt:lpstr>CASE 3</vt:lpstr>
      <vt:lpstr>CASE 4</vt:lpstr>
      <vt:lpstr>BASIC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tapish.mangal(YLIN)</dc:creator>
  <cp:lastModifiedBy>Prachi Agarwal</cp:lastModifiedBy>
  <dcterms:created xsi:type="dcterms:W3CDTF">2025-07-04T13:52:20Z</dcterms:created>
  <dcterms:modified xsi:type="dcterms:W3CDTF">2026-05-07T18:09:39Z</dcterms:modified>
</cp:coreProperties>
</file>